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orecard Summary" sheetId="1" state="visible" r:id="rId1"/>
    <sheet xmlns:r="http://schemas.openxmlformats.org/officeDocument/2006/relationships" name="SL Detail" sheetId="2" state="visible" r:id="rId2"/>
    <sheet xmlns:r="http://schemas.openxmlformats.org/officeDocument/2006/relationships" name="SM Detail" sheetId="3" state="visible" r:id="rId3"/>
    <sheet xmlns:r="http://schemas.openxmlformats.org/officeDocument/2006/relationships" name="OSC Detail" sheetId="4" state="visible" r:id="rId4"/>
    <sheet xmlns:r="http://schemas.openxmlformats.org/officeDocument/2006/relationships" name="FIN Detail" sheetId="5" state="visible" r:id="rId5"/>
    <sheet xmlns:r="http://schemas.openxmlformats.org/officeDocument/2006/relationships" name="IC Detail" sheetId="6" state="visible" r:id="rId6"/>
    <sheet xmlns:r="http://schemas.openxmlformats.org/officeDocument/2006/relationships" name="Evidence Index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3"/>
    </font>
    <font>
      <name val="Calibri"/>
      <color rgb="001F3864"/>
      <sz val="10"/>
    </font>
    <font>
      <name val="Calibri"/>
      <b val="1"/>
      <color rgb="00FFFFFF"/>
      <sz val="36"/>
    </font>
    <font>
      <name val="Calibri"/>
      <b val="1"/>
      <color rgb="001F3864"/>
      <sz val="11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00B050"/>
      <sz val="10"/>
    </font>
    <font>
      <name val="Calibri"/>
      <b val="1"/>
      <color rgb="00FFC000"/>
      <sz val="10"/>
    </font>
    <font>
      <name val="Calibri"/>
      <b val="1"/>
      <color rgb="00FFFFFF"/>
      <sz val="11"/>
    </font>
    <font>
      <name val="Calibri"/>
      <sz val="9"/>
    </font>
    <font>
      <name val="Calibri"/>
      <b val="1"/>
      <color rgb="002E75B6"/>
      <sz val="9"/>
    </font>
    <font>
      <name val="Calibri"/>
      <b val="1"/>
      <color rgb="0000B050"/>
      <sz val="11"/>
    </font>
    <font>
      <name val="Calibri"/>
      <b val="1"/>
      <color rgb="00FFC000"/>
      <sz val="11"/>
    </font>
    <font>
      <name val="Calibri"/>
      <b val="1"/>
      <color rgb="00FF0000"/>
      <sz val="11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D6E4F0"/>
      </patternFill>
    </fill>
    <fill>
      <patternFill patternType="solid">
        <fgColor rgb="0000B050"/>
      </patternFill>
    </fill>
    <fill>
      <patternFill patternType="solid">
        <fgColor rgb="00B05040"/>
      </patternFill>
    </fill>
    <fill>
      <patternFill patternType="solid">
        <fgColor rgb="FFC00040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/>
    </xf>
    <xf numFmtId="0" fontId="7" fillId="6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0" fillId="3" borderId="1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left" vertical="center" wrapText="1"/>
    </xf>
    <xf numFmtId="0" fontId="13" fillId="0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14" fillId="0" borderId="1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DDMR Dimension Scores</a:t>
            </a:r>
          </a:p>
        </rich>
      </tx>
    </title>
    <plotArea>
      <radarChart>
        <radarStyle val="filled"/>
        <ser>
          <idx val="0"/>
          <order val="0"/>
          <tx>
            <strRef>
              <f>'Scorecard Summary'!C8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'Scorecard Summary'!$B$9:$B$13</f>
            </numRef>
          </cat>
          <val>
            <numRef>
              <f>'Scorecard Summary'!$C$9:$C$13</f>
            </numRef>
          </val>
        </ser>
        <axId val="10"/>
        <axId val="100"/>
      </rad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SL Sub-Metric Scores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'SL Detail'!D4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'SL Detail'!$B$5:$B$10</f>
            </numRef>
          </cat>
          <val>
            <numRef>
              <f>'SL Detail'!$D$5:$D$10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SM Sub-Metric Scores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'SM Detail'!D4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'SM Detail'!$B$5:$B$9</f>
            </numRef>
          </cat>
          <val>
            <numRef>
              <f>'SM Detail'!$D$5:$D$9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OSC Sub-Metric Scores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'OSC Detail'!D4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'OSC Detail'!$B$5:$B$9</f>
            </numRef>
          </cat>
          <val>
            <numRef>
              <f>'OSC Detail'!$D$5:$D$9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 Sub-Metric Scores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'FIN Detail'!D4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'FIN Detail'!$B$5:$B$10</f>
            </numRef>
          </cat>
          <val>
            <numRef>
              <f>'FIN Detail'!$D$5:$D$10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IC Sub-Metric Scores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'IC Detail'!D4</f>
            </strRef>
          </tx>
          <spPr>
            <a:ln xmlns:a="http://schemas.openxmlformats.org/drawingml/2006/main">
              <a:prstDash val="solid"/>
            </a:ln>
          </spPr>
          <cat>
            <numRef>
              <f>'IC Detail'!$B$5:$B$9</f>
            </numRef>
          </cat>
          <val>
            <numRef>
              <f>'IC Detail'!$D$5:$D$9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50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12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1</col>
      <colOff>0</colOff>
      <row>12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1</col>
      <colOff>0</colOff>
      <row>12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1</col>
      <colOff>0</colOff>
      <row>12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1</col>
      <colOff>0</colOff>
      <row>12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</cols>
  <sheetData>
    <row r="1" ht="8" customHeight="1"/>
    <row r="2" ht="20" customHeight="1">
      <c r="B2" s="1" t="inlineStr">
        <is>
          <t>DDMR — DIGITAL DIAGNOSTIC AND MATURITY REPORT</t>
        </is>
      </c>
    </row>
    <row r="3" ht="20" customHeight="1">
      <c r="B3" s="2" t="inlineStr">
        <is>
          <t>Janatics India Private Limited</t>
        </is>
      </c>
    </row>
    <row r="4" ht="20" customHeight="1">
      <c r="B4" s="3" t="inlineStr">
        <is>
          <t>CIN: U31103TZ1991PTC003409   |   Report Date: 19 April 2026   |   Composite Score: 75.7/100</t>
        </is>
      </c>
    </row>
    <row r="5" ht="8" customHeight="1"/>
    <row r="6" ht="60" customHeight="1">
      <c r="B6" s="4" t="inlineStr">
        <is>
          <t>75.7</t>
        </is>
      </c>
      <c r="D6" s="5" t="inlineStr">
        <is>
          <t>COMPOSITE DDMR SCORE
(Weighted across 5 Dimensions)</t>
        </is>
      </c>
    </row>
    <row r="8" ht="22" customHeight="1">
      <c r="B8" s="6" t="inlineStr">
        <is>
          <t>Dimension</t>
        </is>
      </c>
      <c r="C8" s="6" t="inlineStr">
        <is>
          <t>Score /100</t>
        </is>
      </c>
      <c r="D8" s="6" t="inlineStr">
        <is>
          <t>Weight</t>
        </is>
      </c>
      <c r="E8" s="6" t="inlineStr">
        <is>
          <t>Weighted</t>
        </is>
      </c>
      <c r="F8" s="6" t="inlineStr">
        <is>
          <t>Rating</t>
        </is>
      </c>
    </row>
    <row r="9" ht="20" customHeight="1">
      <c r="B9" s="7" t="inlineStr">
        <is>
          <t>Strategy &amp; Leadership</t>
        </is>
      </c>
      <c r="C9" s="8" t="n">
        <v>81</v>
      </c>
      <c r="D9" s="9" t="inlineStr">
        <is>
          <t>25%</t>
        </is>
      </c>
      <c r="E9" s="8" t="n">
        <v>20.2</v>
      </c>
      <c r="F9" s="10" t="inlineStr">
        <is>
          <t>Strong</t>
        </is>
      </c>
    </row>
    <row r="10" ht="20" customHeight="1">
      <c r="B10" s="7" t="inlineStr">
        <is>
          <t>Sales &amp; Marketing</t>
        </is>
      </c>
      <c r="C10" s="8" t="n">
        <v>78</v>
      </c>
      <c r="D10" s="9" t="inlineStr">
        <is>
          <t>20%</t>
        </is>
      </c>
      <c r="E10" s="8" t="n">
        <v>15.6</v>
      </c>
      <c r="F10" s="10" t="inlineStr">
        <is>
          <t>Strong</t>
        </is>
      </c>
    </row>
    <row r="11" ht="20" customHeight="1">
      <c r="B11" s="7" t="inlineStr">
        <is>
          <t>Operations &amp; Supply Chain</t>
        </is>
      </c>
      <c r="C11" s="8" t="n">
        <v>78</v>
      </c>
      <c r="D11" s="9" t="inlineStr">
        <is>
          <t>20%</t>
        </is>
      </c>
      <c r="E11" s="8" t="n">
        <v>15.6</v>
      </c>
      <c r="F11" s="10" t="inlineStr">
        <is>
          <t>Strong</t>
        </is>
      </c>
    </row>
    <row r="12" ht="20" customHeight="1">
      <c r="B12" s="7" t="inlineStr">
        <is>
          <t>Finance</t>
        </is>
      </c>
      <c r="C12" s="11" t="n">
        <v>67</v>
      </c>
      <c r="D12" s="9" t="inlineStr">
        <is>
          <t>25%</t>
        </is>
      </c>
      <c r="E12" s="11" t="n">
        <v>16.8</v>
      </c>
      <c r="F12" s="12" t="inlineStr">
        <is>
          <t>Moderate</t>
        </is>
      </c>
    </row>
    <row r="13" ht="20" customHeight="1">
      <c r="B13" s="7" t="inlineStr">
        <is>
          <t>Industry Context</t>
        </is>
      </c>
      <c r="C13" s="8" t="n">
        <v>75</v>
      </c>
      <c r="D13" s="9" t="inlineStr">
        <is>
          <t>10%</t>
        </is>
      </c>
      <c r="E13" s="8" t="n">
        <v>7.5</v>
      </c>
      <c r="F13" s="10" t="inlineStr">
        <is>
          <t>Strong</t>
        </is>
      </c>
    </row>
    <row r="14" ht="22" customHeight="1">
      <c r="B14" s="13" t="inlineStr">
        <is>
          <t>COMPOSITE SCORE</t>
        </is>
      </c>
      <c r="C14" s="14" t="n">
        <v>75.7</v>
      </c>
      <c r="D14" s="14" t="inlineStr">
        <is>
          <t>100%</t>
        </is>
      </c>
      <c r="E14" s="14" t="n">
        <v>75.7</v>
      </c>
      <c r="F14" s="14" t="inlineStr">
        <is>
          <t>Strong</t>
        </is>
      </c>
    </row>
  </sheetData>
  <mergeCells count="5">
    <mergeCell ref="B4:F4"/>
    <mergeCell ref="B6:C6"/>
    <mergeCell ref="B2:F2"/>
    <mergeCell ref="B3:F3"/>
    <mergeCell ref="D6:F6"/>
  </mergeCells>
  <conditionalFormatting sqref="C9:C13">
    <cfRule type="colorScale" priority="1">
      <colorScale>
        <cfvo type="num" val="0"/>
        <cfvo type="num" val="50"/>
        <cfvo type="num" val="100"/>
        <color rgb="00FF0000"/>
        <color rgb="00FFFF00"/>
        <color rgb="0000B050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E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" customWidth="1" min="2" max="2"/>
    <col width="40" customWidth="1" min="3" max="3"/>
    <col width="12" customWidth="1" min="4" max="4"/>
    <col width="50" customWidth="1" min="5" max="5"/>
  </cols>
  <sheetData>
    <row r="2" ht="24" customHeight="1">
      <c r="B2" s="2" t="inlineStr">
        <is>
          <t>SL — Strategy &amp; Leadership   |   Score: 81/100   |   Weight: 25%</t>
        </is>
      </c>
    </row>
    <row r="4" ht="20" customHeight="1">
      <c r="B4" s="6" t="inlineStr">
        <is>
          <t>Code</t>
        </is>
      </c>
      <c r="C4" s="6" t="inlineStr">
        <is>
          <t>Sub-Metric</t>
        </is>
      </c>
      <c r="D4" s="6" t="inlineStr">
        <is>
          <t>Score /100</t>
        </is>
      </c>
      <c r="E4" s="6" t="inlineStr">
        <is>
          <t>Evidence / Rationale</t>
        </is>
      </c>
    </row>
    <row r="5" ht="32" customHeight="1">
      <c r="B5" s="15" t="inlineStr">
        <is>
          <t>SL01</t>
        </is>
      </c>
      <c r="C5" s="16" t="inlineStr">
        <is>
          <t>Founder/Company Tenure (est. 1977, 49 yrs)</t>
        </is>
      </c>
      <c r="D5" s="17" t="n">
        <v>90</v>
      </c>
      <c r="E5" s="16" t="inlineStr">
        <is>
          <t>Founded 1977; incorporated 1991 — one of India's oldest domestic pneumatics brands</t>
        </is>
      </c>
    </row>
    <row r="6" ht="32" customHeight="1">
      <c r="B6" s="15" t="inlineStr">
        <is>
          <t>SL02</t>
        </is>
      </c>
      <c r="C6" s="16" t="inlineStr">
        <is>
          <t>Director Profile &amp; DIN Compliance</t>
        </is>
      </c>
      <c r="D6" s="17" t="n">
        <v>75</v>
      </c>
      <c r="E6" s="16" t="inlineStr">
        <is>
          <t>3 active directors: G Jaganathan, GC Nageswaran, R Ramesh — all DINs active</t>
        </is>
      </c>
    </row>
    <row r="7" ht="32" customHeight="1">
      <c r="B7" s="15" t="inlineStr">
        <is>
          <t>SL03</t>
        </is>
      </c>
      <c r="C7" s="16" t="inlineStr">
        <is>
          <t>Governance &amp; Filing Compliance</t>
        </is>
      </c>
      <c r="D7" s="17" t="n">
        <v>80</v>
      </c>
      <c r="E7" s="16" t="inlineStr">
        <is>
          <t>AGM held Sept 30 2024; filings current with ROC Coimbatore</t>
        </is>
      </c>
    </row>
    <row r="8" ht="32" customHeight="1">
      <c r="B8" s="15" t="inlineStr">
        <is>
          <t>SL04</t>
        </is>
      </c>
      <c r="C8" s="16" t="inlineStr">
        <is>
          <t>Debt &amp; Charge Structure</t>
        </is>
      </c>
      <c r="D8" s="17" t="n">
        <v>78</v>
      </c>
      <c r="E8" s="16" t="inlineStr">
        <is>
          <t>ICRA-rated; stable outlook; healthy debt protection metrics per ICRA rationale</t>
        </is>
      </c>
    </row>
    <row r="9" ht="32" customHeight="1">
      <c r="B9" s="15" t="inlineStr">
        <is>
          <t>SL05</t>
        </is>
      </c>
      <c r="C9" s="16" t="inlineStr">
        <is>
          <t>Strategic Direction &amp; Diversification</t>
        </is>
      </c>
      <c r="D9" s="17" t="n">
        <v>82</v>
      </c>
      <c r="E9" s="16" t="inlineStr">
        <is>
          <t>Expanded beyond pneumatics → electric actuators, robotics, Industry 4.0 alignment</t>
        </is>
      </c>
    </row>
    <row r="10" ht="32" customHeight="1">
      <c r="B10" s="15" t="inlineStr">
        <is>
          <t>SL06</t>
        </is>
      </c>
      <c r="C10" s="16" t="inlineStr">
        <is>
          <t>Global Presence &amp; Export Strategy</t>
        </is>
      </c>
      <c r="D10" s="17" t="n">
        <v>88</v>
      </c>
      <c r="E10" s="16" t="inlineStr">
        <is>
          <t>Operations in 42+ countries; subsidiaries in USA and Germany; global distribution network</t>
        </is>
      </c>
    </row>
    <row r="11" ht="22" customHeight="1">
      <c r="B11" s="18" t="inlineStr">
        <is>
          <t>AVG</t>
        </is>
      </c>
      <c r="C11" s="19" t="inlineStr">
        <is>
          <t>Dimension Average Score</t>
        </is>
      </c>
      <c r="D11" s="18" t="n">
        <v>81</v>
      </c>
      <c r="E11" s="19" t="inlineStr">
        <is>
          <t>Weighted contribution to composite: 20.2 pts</t>
        </is>
      </c>
    </row>
  </sheetData>
  <mergeCells count="1">
    <mergeCell ref="B2: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" customWidth="1" min="2" max="2"/>
    <col width="40" customWidth="1" min="3" max="3"/>
    <col width="12" customWidth="1" min="4" max="4"/>
    <col width="50" customWidth="1" min="5" max="5"/>
  </cols>
  <sheetData>
    <row r="2" ht="24" customHeight="1">
      <c r="B2" s="2" t="inlineStr">
        <is>
          <t>SM — Sales &amp; Marketing   |   Score: 78/100   |   Weight: 20%</t>
        </is>
      </c>
    </row>
    <row r="4" ht="20" customHeight="1">
      <c r="B4" s="6" t="inlineStr">
        <is>
          <t>Code</t>
        </is>
      </c>
      <c r="C4" s="6" t="inlineStr">
        <is>
          <t>Sub-Metric</t>
        </is>
      </c>
      <c r="D4" s="6" t="inlineStr">
        <is>
          <t>Score /100</t>
        </is>
      </c>
      <c r="E4" s="6" t="inlineStr">
        <is>
          <t>Evidence / Rationale</t>
        </is>
      </c>
    </row>
    <row r="5" ht="32" customHeight="1">
      <c r="B5" s="15" t="inlineStr">
        <is>
          <t>SM01</t>
        </is>
      </c>
      <c r="C5" s="16" t="inlineStr">
        <is>
          <t>Revenue Growth vs Industry CAGR</t>
        </is>
      </c>
      <c r="D5" s="20" t="n">
        <v>55</v>
      </c>
      <c r="E5" s="16" t="inlineStr">
        <is>
          <t>Revenue grew ~4-5% YoY (FY24→FY25) vs industry CAGR of 6.9% — slightly below market</t>
        </is>
      </c>
    </row>
    <row r="6" ht="32" customHeight="1">
      <c r="B6" s="15" t="inlineStr">
        <is>
          <t>SM02</t>
        </is>
      </c>
      <c r="C6" s="16" t="inlineStr">
        <is>
          <t>Revenue Scale</t>
        </is>
      </c>
      <c r="D6" s="17" t="n">
        <v>80</v>
      </c>
      <c r="E6" s="16" t="inlineStr">
        <is>
          <t>FY2025 revenue: ₹531 Cr (~$63M USD) — significant scale for domestic manufacturer</t>
        </is>
      </c>
    </row>
    <row r="7" ht="32" customHeight="1">
      <c r="B7" s="15" t="inlineStr">
        <is>
          <t>SM03</t>
        </is>
      </c>
      <c r="C7" s="16" t="inlineStr">
        <is>
          <t>Customer Diversity</t>
        </is>
      </c>
      <c r="D7" s="17" t="n">
        <v>90</v>
      </c>
      <c r="E7" s="16" t="inlineStr">
        <is>
          <t>17,000+ customers across pharma, auto, packaging, printing, food, medical, textile</t>
        </is>
      </c>
    </row>
    <row r="8" ht="32" customHeight="1">
      <c r="B8" s="15" t="inlineStr">
        <is>
          <t>SM04</t>
        </is>
      </c>
      <c r="C8" s="16" t="inlineStr">
        <is>
          <t>Distribution Network</t>
        </is>
      </c>
      <c r="D8" s="17" t="n">
        <v>85</v>
      </c>
      <c r="E8" s="16" t="inlineStr">
        <is>
          <t>200 distribution partners globally; 3 plants for regional coverage</t>
        </is>
      </c>
    </row>
    <row r="9" ht="32" customHeight="1">
      <c r="B9" s="15" t="inlineStr">
        <is>
          <t>SM05</t>
        </is>
      </c>
      <c r="C9" s="16" t="inlineStr">
        <is>
          <t>Brand Strength</t>
        </is>
      </c>
      <c r="D9" s="17" t="n">
        <v>80</v>
      </c>
      <c r="E9" s="16" t="inlineStr">
        <is>
          <t>49-year brand; own-label (Janatics); member of AIA India; DSIR-recognized R&amp;D</t>
        </is>
      </c>
    </row>
    <row r="10" ht="22" customHeight="1">
      <c r="B10" s="18" t="inlineStr">
        <is>
          <t>AVG</t>
        </is>
      </c>
      <c r="C10" s="19" t="inlineStr">
        <is>
          <t>Dimension Average Score</t>
        </is>
      </c>
      <c r="D10" s="18" t="n">
        <v>78</v>
      </c>
      <c r="E10" s="19" t="inlineStr">
        <is>
          <t>Weighted contribution to composite: 15.6 pts</t>
        </is>
      </c>
    </row>
  </sheetData>
  <mergeCells count="1">
    <mergeCell ref="B2:E2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" customWidth="1" min="2" max="2"/>
    <col width="40" customWidth="1" min="3" max="3"/>
    <col width="12" customWidth="1" min="4" max="4"/>
    <col width="50" customWidth="1" min="5" max="5"/>
  </cols>
  <sheetData>
    <row r="2" ht="24" customHeight="1">
      <c r="B2" s="2" t="inlineStr">
        <is>
          <t>OSC — Operations &amp; Supply Chain   |   Score: 78/100   |   Weight: 20%</t>
        </is>
      </c>
    </row>
    <row r="4" ht="20" customHeight="1">
      <c r="B4" s="6" t="inlineStr">
        <is>
          <t>Code</t>
        </is>
      </c>
      <c r="C4" s="6" t="inlineStr">
        <is>
          <t>Sub-Metric</t>
        </is>
      </c>
      <c r="D4" s="6" t="inlineStr">
        <is>
          <t>Score /100</t>
        </is>
      </c>
      <c r="E4" s="6" t="inlineStr">
        <is>
          <t>Evidence / Rationale</t>
        </is>
      </c>
    </row>
    <row r="5" ht="32" customHeight="1">
      <c r="B5" s="15" t="inlineStr">
        <is>
          <t>OSC01</t>
        </is>
      </c>
      <c r="C5" s="16" t="inlineStr">
        <is>
          <t>Manufacturing Scale &amp; Capacity</t>
        </is>
      </c>
      <c r="D5" s="17" t="n">
        <v>85</v>
      </c>
      <c r="E5" s="16" t="inlineStr">
        <is>
          <t>70,000 sqm facility in Coimbatore; additional plants in Ahmedabad and Noida</t>
        </is>
      </c>
    </row>
    <row r="6" ht="32" customHeight="1">
      <c r="B6" s="15" t="inlineStr">
        <is>
          <t>OSC02</t>
        </is>
      </c>
      <c r="C6" s="16" t="inlineStr">
        <is>
          <t>Product Portfolio Breadth</t>
        </is>
      </c>
      <c r="D6" s="17" t="n">
        <v>90</v>
      </c>
      <c r="E6" s="16" t="inlineStr">
        <is>
          <t>3,500+ distinct products across pneumatics, vacuum, hydraulics, didactics, robotics</t>
        </is>
      </c>
    </row>
    <row r="7" ht="32" customHeight="1">
      <c r="B7" s="15" t="inlineStr">
        <is>
          <t>OSC03</t>
        </is>
      </c>
      <c r="C7" s="16" t="inlineStr">
        <is>
          <t>R&amp;D &amp; Technology Capability</t>
        </is>
      </c>
      <c r="D7" s="17" t="n">
        <v>82</v>
      </c>
      <c r="E7" s="16" t="inlineStr">
        <is>
          <t>DSIR-recognized R&amp;D division; CNC machining; casting operations; expanding to robotics</t>
        </is>
      </c>
    </row>
    <row r="8" ht="32" customHeight="1">
      <c r="B8" s="15" t="inlineStr">
        <is>
          <t>OSC04</t>
        </is>
      </c>
      <c r="C8" s="16" t="inlineStr">
        <is>
          <t>GST &amp; Regulatory Compliance</t>
        </is>
      </c>
      <c r="D8" s="20" t="n">
        <v>72</v>
      </c>
      <c r="E8" s="16" t="inlineStr">
        <is>
          <t>Active GST entity; ICRA notes consistent compliance; e-Invoice enablement assumed</t>
        </is>
      </c>
    </row>
    <row r="9" ht="32" customHeight="1">
      <c r="B9" s="15" t="inlineStr">
        <is>
          <t>OSC05</t>
        </is>
      </c>
      <c r="C9" s="16" t="inlineStr">
        <is>
          <t>Supply Chain Digitization</t>
        </is>
      </c>
      <c r="D9" s="20" t="n">
        <v>65</v>
      </c>
      <c r="E9" s="16" t="inlineStr">
        <is>
          <t>Industry 4.0 product range signals awareness; internal digitization not publicly quantified</t>
        </is>
      </c>
    </row>
    <row r="10" ht="22" customHeight="1">
      <c r="B10" s="18" t="inlineStr">
        <is>
          <t>AVG</t>
        </is>
      </c>
      <c r="C10" s="19" t="inlineStr">
        <is>
          <t>Dimension Average Score</t>
        </is>
      </c>
      <c r="D10" s="18" t="n">
        <v>78</v>
      </c>
      <c r="E10" s="19" t="inlineStr">
        <is>
          <t>Weighted contribution to composite: 15.6 pts</t>
        </is>
      </c>
    </row>
  </sheetData>
  <mergeCells count="1">
    <mergeCell ref="B2:E2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" customWidth="1" min="2" max="2"/>
    <col width="40" customWidth="1" min="3" max="3"/>
    <col width="12" customWidth="1" min="4" max="4"/>
    <col width="50" customWidth="1" min="5" max="5"/>
  </cols>
  <sheetData>
    <row r="2" ht="24" customHeight="1">
      <c r="B2" s="2" t="inlineStr">
        <is>
          <t>FIN — Finance   |   Score: 67/100   |   Weight: 25%</t>
        </is>
      </c>
    </row>
    <row r="4" ht="20" customHeight="1">
      <c r="B4" s="6" t="inlineStr">
        <is>
          <t>Code</t>
        </is>
      </c>
      <c r="C4" s="6" t="inlineStr">
        <is>
          <t>Sub-Metric</t>
        </is>
      </c>
      <c r="D4" s="6" t="inlineStr">
        <is>
          <t>Score /100</t>
        </is>
      </c>
      <c r="E4" s="6" t="inlineStr">
        <is>
          <t>Evidence / Rationale</t>
        </is>
      </c>
    </row>
    <row r="5" ht="32" customHeight="1">
      <c r="B5" s="15" t="inlineStr">
        <is>
          <t>FIN01</t>
        </is>
      </c>
      <c r="C5" s="16" t="inlineStr">
        <is>
          <t>Revenue Scale (₹531 Cr FY25)</t>
        </is>
      </c>
      <c r="D5" s="17" t="n">
        <v>80</v>
      </c>
      <c r="E5" s="16" t="inlineStr">
        <is>
          <t>₹531 Cr revenue — strong for unlisted domestic manufacturer in pneumatics segment</t>
        </is>
      </c>
    </row>
    <row r="6" ht="32" customHeight="1">
      <c r="B6" s="15" t="inlineStr">
        <is>
          <t>FIN02</t>
        </is>
      </c>
      <c r="C6" s="16" t="inlineStr">
        <is>
          <t>Revenue Growth Rate (4% YoY)</t>
        </is>
      </c>
      <c r="D6" s="20" t="n">
        <v>55</v>
      </c>
      <c r="E6" s="16" t="inlineStr">
        <is>
          <t>FY24: ₹507.9 Cr → FY25: ₹527.8 Cr — 4% growth; steady but below industry pace</t>
        </is>
      </c>
    </row>
    <row r="7" ht="32" customHeight="1">
      <c r="B7" s="15" t="inlineStr">
        <is>
          <t>FIN03</t>
        </is>
      </c>
      <c r="C7" s="16" t="inlineStr">
        <is>
          <t>EBITDA Trajectory</t>
        </is>
      </c>
      <c r="D7" s="21" t="n">
        <v>42</v>
      </c>
      <c r="E7" s="16" t="inlineStr">
        <is>
          <t>EBITDA CAGR -22% (1-yr) — margin compression flagged; needs monitoring</t>
        </is>
      </c>
    </row>
    <row r="8" ht="32" customHeight="1">
      <c r="B8" s="15" t="inlineStr">
        <is>
          <t>FIN04</t>
        </is>
      </c>
      <c r="C8" s="16" t="inlineStr">
        <is>
          <t>Credit Profile (ICRA Rated)</t>
        </is>
      </c>
      <c r="D8" s="17" t="n">
        <v>82</v>
      </c>
      <c r="E8" s="16" t="inlineStr">
        <is>
          <t>ICRA rated with stable outlook; multiple reaffirmations; healthy debt protection metrics</t>
        </is>
      </c>
    </row>
    <row r="9" ht="32" customHeight="1">
      <c r="B9" s="15" t="inlineStr">
        <is>
          <t>FIN05</t>
        </is>
      </c>
      <c r="C9" s="16" t="inlineStr">
        <is>
          <t>Capital Structure</t>
        </is>
      </c>
      <c r="D9" s="17" t="n">
        <v>75</v>
      </c>
      <c r="E9" s="16" t="inlineStr">
        <is>
          <t>Auth. capital ₹30 Cr; paid-up ₹26.5 Cr; nearly fully subscribed — conservative but sound</t>
        </is>
      </c>
    </row>
    <row r="10" ht="32" customHeight="1">
      <c r="B10" s="15" t="inlineStr">
        <is>
          <t>FIN06</t>
        </is>
      </c>
      <c r="C10" s="16" t="inlineStr">
        <is>
          <t>Employee Productivity</t>
        </is>
      </c>
      <c r="D10" s="20" t="n">
        <v>70</v>
      </c>
      <c r="E10" s="16" t="inlineStr">
        <is>
          <t>₹531 Cr / 662 employees = ₹80L per employee — decent for manufacturing sector</t>
        </is>
      </c>
    </row>
    <row r="11" ht="22" customHeight="1">
      <c r="B11" s="18" t="inlineStr">
        <is>
          <t>AVG</t>
        </is>
      </c>
      <c r="C11" s="19" t="inlineStr">
        <is>
          <t>Dimension Average Score</t>
        </is>
      </c>
      <c r="D11" s="18" t="n">
        <v>67</v>
      </c>
      <c r="E11" s="19" t="inlineStr">
        <is>
          <t>Weighted contribution to composite: 16.8 pts</t>
        </is>
      </c>
    </row>
  </sheetData>
  <mergeCells count="1">
    <mergeCell ref="B2:E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E10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" customWidth="1" min="2" max="2"/>
    <col width="40" customWidth="1" min="3" max="3"/>
    <col width="12" customWidth="1" min="4" max="4"/>
    <col width="50" customWidth="1" min="5" max="5"/>
  </cols>
  <sheetData>
    <row r="2" ht="24" customHeight="1">
      <c r="B2" s="2" t="inlineStr">
        <is>
          <t>IC — Industry Context   |   Score: 75/100   |   Weight: 10%</t>
        </is>
      </c>
    </row>
    <row r="4" ht="20" customHeight="1">
      <c r="B4" s="6" t="inlineStr">
        <is>
          <t>Code</t>
        </is>
      </c>
      <c r="C4" s="6" t="inlineStr">
        <is>
          <t>Sub-Metric</t>
        </is>
      </c>
      <c r="D4" s="6" t="inlineStr">
        <is>
          <t>Score /100</t>
        </is>
      </c>
      <c r="E4" s="6" t="inlineStr">
        <is>
          <t>Evidence / Rationale</t>
        </is>
      </c>
    </row>
    <row r="5" ht="32" customHeight="1">
      <c r="B5" s="15" t="inlineStr">
        <is>
          <t>IC01</t>
        </is>
      </c>
      <c r="C5" s="16" t="inlineStr">
        <is>
          <t>India Pneumatics Market Size</t>
        </is>
      </c>
      <c r="D5" s="20" t="n">
        <v>70</v>
      </c>
      <c r="E5" s="16" t="inlineStr">
        <is>
          <t>India pneumatics market ~$1.06B (2024); growing to $1.94B by 2033 — mid-size TAM</t>
        </is>
      </c>
    </row>
    <row r="6" ht="32" customHeight="1">
      <c r="B6" s="15" t="inlineStr">
        <is>
          <t>IC02</t>
        </is>
      </c>
      <c r="C6" s="16" t="inlineStr">
        <is>
          <t>Industry Growth Rate (6.9% CAGR)</t>
        </is>
      </c>
      <c r="D6" s="17" t="n">
        <v>78</v>
      </c>
      <c r="E6" s="16" t="inlineStr">
        <is>
          <t>India pneumatic equipment CAGR 6.9% (2025–2033); aligned with industrial capex cycle</t>
        </is>
      </c>
    </row>
    <row r="7" ht="32" customHeight="1">
      <c r="B7" s="15" t="inlineStr">
        <is>
          <t>IC03</t>
        </is>
      </c>
      <c r="C7" s="16" t="inlineStr">
        <is>
          <t>Competitive Position</t>
        </is>
      </c>
      <c r="D7" s="20" t="n">
        <v>70</v>
      </c>
      <c r="E7" s="16" t="inlineStr">
        <is>
          <t>Domestic brand competing with global leaders (SMC, Festo, Parker); strong in mid-market</t>
        </is>
      </c>
    </row>
    <row r="8" ht="32" customHeight="1">
      <c r="B8" s="15" t="inlineStr">
        <is>
          <t>IC04</t>
        </is>
      </c>
      <c r="C8" s="16" t="inlineStr">
        <is>
          <t>Macro Tailwinds</t>
        </is>
      </c>
      <c r="D8" s="17" t="n">
        <v>82</v>
      </c>
      <c r="E8" s="16" t="inlineStr">
        <is>
          <t>Make in India, PLI schemes, manufacturing automation, China+1 strategy all favourable</t>
        </is>
      </c>
    </row>
    <row r="9" ht="32" customHeight="1">
      <c r="B9" s="15" t="inlineStr">
        <is>
          <t>IC05</t>
        </is>
      </c>
      <c r="C9" s="16" t="inlineStr">
        <is>
          <t>End-Market Diversification</t>
        </is>
      </c>
      <c r="D9" s="17" t="n">
        <v>76</v>
      </c>
      <c r="E9" s="16" t="inlineStr">
        <is>
          <t>6+ industries: pharma, auto, packaging, food, medical, textile — low single-sector risk</t>
        </is>
      </c>
    </row>
    <row r="10" ht="22" customHeight="1">
      <c r="B10" s="18" t="inlineStr">
        <is>
          <t>AVG</t>
        </is>
      </c>
      <c r="C10" s="19" t="inlineStr">
        <is>
          <t>Dimension Average Score</t>
        </is>
      </c>
      <c r="D10" s="18" t="n">
        <v>75</v>
      </c>
      <c r="E10" s="19" t="inlineStr">
        <is>
          <t>Weighted contribution to composite: 7.5 pts</t>
        </is>
      </c>
    </row>
  </sheetData>
  <mergeCells count="1">
    <mergeCell ref="B2:E2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E3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0" customWidth="1" min="2" max="2"/>
    <col width="35" customWidth="1" min="3" max="3"/>
    <col width="20" customWidth="1" min="4" max="4"/>
    <col width="55" customWidth="1" min="5" max="5"/>
  </cols>
  <sheetData>
    <row r="2" ht="24" customHeight="1">
      <c r="B2" s="22" t="inlineStr">
        <is>
          <t>Evidence Index — Janatics India Private Limited</t>
        </is>
      </c>
    </row>
    <row r="4">
      <c r="B4" s="18" t="inlineStr">
        <is>
          <t>Code</t>
        </is>
      </c>
      <c r="C4" s="18" t="inlineStr">
        <is>
          <t>Sub-Metric</t>
        </is>
      </c>
      <c r="D4" s="18" t="inlineStr">
        <is>
          <t>Source</t>
        </is>
      </c>
      <c r="E4" s="18" t="inlineStr">
        <is>
          <t>Evidence</t>
        </is>
      </c>
    </row>
    <row r="5" ht="28" customHeight="1">
      <c r="B5" s="15" t="inlineStr">
        <is>
          <t>SL01</t>
        </is>
      </c>
      <c r="C5" s="16" t="inlineStr">
        <is>
          <t>Founder/Company Tenure</t>
        </is>
      </c>
      <c r="D5" s="16" t="inlineStr">
        <is>
          <t>Janatics website / MCA</t>
        </is>
      </c>
      <c r="E5" s="16" t="inlineStr">
        <is>
          <t>Incorporated 1991; brand established 1977 — 49-year operating history</t>
        </is>
      </c>
    </row>
    <row r="6" ht="28" customHeight="1">
      <c r="B6" s="15" t="inlineStr">
        <is>
          <t>SL02</t>
        </is>
      </c>
      <c r="C6" s="16" t="inlineStr">
        <is>
          <t>Director Profile</t>
        </is>
      </c>
      <c r="D6" s="16" t="inlineStr">
        <is>
          <t>MCA public records</t>
        </is>
      </c>
      <c r="E6" s="16" t="inlineStr">
        <is>
          <t>3 active directors; AGM Sept 2024; ROC Coimbatore filings current</t>
        </is>
      </c>
    </row>
    <row r="7" ht="28" customHeight="1">
      <c r="B7" s="15" t="inlineStr">
        <is>
          <t>SL03</t>
        </is>
      </c>
      <c r="C7" s="16" t="inlineStr">
        <is>
          <t>Governance Compliance</t>
        </is>
      </c>
      <c r="D7" s="16" t="inlineStr">
        <is>
          <t>MCA / Zaubacorp</t>
        </is>
      </c>
      <c r="E7" s="16" t="inlineStr">
        <is>
          <t>Annual filings current; AGM held within statutory deadline</t>
        </is>
      </c>
    </row>
    <row r="8" ht="28" customHeight="1">
      <c r="B8" s="15" t="inlineStr">
        <is>
          <t>SL04</t>
        </is>
      </c>
      <c r="C8" s="16" t="inlineStr">
        <is>
          <t>Debt Structure</t>
        </is>
      </c>
      <c r="D8" s="16" t="inlineStr">
        <is>
          <t>ICRA Rationale Report</t>
        </is>
      </c>
      <c r="E8" s="16" t="inlineStr">
        <is>
          <t>ICRA rated; stable outlook; healthy debt protection metrics; multiple reaffirmations</t>
        </is>
      </c>
    </row>
    <row r="9" ht="28" customHeight="1">
      <c r="B9" s="15" t="inlineStr">
        <is>
          <t>SL05</t>
        </is>
      </c>
      <c r="C9" s="16" t="inlineStr">
        <is>
          <t>Strategic Direction</t>
        </is>
      </c>
      <c r="D9" s="16" t="inlineStr">
        <is>
          <t>Janatics website</t>
        </is>
      </c>
      <c r="E9" s="16" t="inlineStr">
        <is>
          <t>Expanded to electric actuators, sensors, motors, robotics — Industry 4.0 pivot</t>
        </is>
      </c>
    </row>
    <row r="10" ht="28" customHeight="1">
      <c r="B10" s="15" t="inlineStr">
        <is>
          <t>SL06</t>
        </is>
      </c>
      <c r="C10" s="16" t="inlineStr">
        <is>
          <t>Global Presence</t>
        </is>
      </c>
      <c r="D10" s="16" t="inlineStr">
        <is>
          <t>janaticspneumatics.com</t>
        </is>
      </c>
      <c r="E10" s="16" t="inlineStr">
        <is>
          <t>42+ countries; subsidiaries USA and Germany; 200 global distribution partners</t>
        </is>
      </c>
    </row>
    <row r="11" ht="28" customHeight="1">
      <c r="B11" s="15" t="inlineStr">
        <is>
          <t>SM01</t>
        </is>
      </c>
      <c r="C11" s="16" t="inlineStr">
        <is>
          <t>Revenue Growth</t>
        </is>
      </c>
      <c r="D11" s="16" t="inlineStr">
        <is>
          <t>ICRA / Tracxn</t>
        </is>
      </c>
      <c r="E11" s="16" t="inlineStr">
        <is>
          <t>FY24: ₹507.9 Cr → FY25: ₹527.8 Cr; ~4% YoY vs 6.9% industry CAGR</t>
        </is>
      </c>
    </row>
    <row r="12" ht="28" customHeight="1">
      <c r="B12" s="15" t="inlineStr">
        <is>
          <t>SM02</t>
        </is>
      </c>
      <c r="C12" s="16" t="inlineStr">
        <is>
          <t>Revenue Scale</t>
        </is>
      </c>
      <c r="D12" s="16" t="inlineStr">
        <is>
          <t>Tracxn / ICRA 2025</t>
        </is>
      </c>
      <c r="E12" s="16" t="inlineStr">
        <is>
          <t>₹531 Cr FY2025; consistent ₹500 Cr+ revenue for 2 consecutive years</t>
        </is>
      </c>
    </row>
    <row r="13" ht="28" customHeight="1">
      <c r="B13" s="15" t="inlineStr">
        <is>
          <t>SM03</t>
        </is>
      </c>
      <c r="C13" s="16" t="inlineStr">
        <is>
          <t>Customer Diversity</t>
        </is>
      </c>
      <c r="D13" s="16" t="inlineStr">
        <is>
          <t>Janatics website</t>
        </is>
      </c>
      <c r="E13" s="16" t="inlineStr">
        <is>
          <t>17,000+ customers; 6+ industries: pharma, auto, packaging, food, medical, textile</t>
        </is>
      </c>
    </row>
    <row r="14" ht="28" customHeight="1">
      <c r="B14" s="15" t="inlineStr">
        <is>
          <t>SM04</t>
        </is>
      </c>
      <c r="C14" s="16" t="inlineStr">
        <is>
          <t>Distribution Network</t>
        </is>
      </c>
      <c r="D14" s="16" t="inlineStr">
        <is>
          <t>janaticspneumatics.com</t>
        </is>
      </c>
      <c r="E14" s="16" t="inlineStr">
        <is>
          <t>200 global distribution partners; 3 manufacturing plants for regional reach</t>
        </is>
      </c>
    </row>
    <row r="15" ht="28" customHeight="1">
      <c r="B15" s="15" t="inlineStr">
        <is>
          <t>SM05</t>
        </is>
      </c>
      <c r="C15" s="16" t="inlineStr">
        <is>
          <t>Brand Strength</t>
        </is>
      </c>
      <c r="D15" s="16" t="inlineStr">
        <is>
          <t>AIA India / DSIR</t>
        </is>
      </c>
      <c r="E15" s="16" t="inlineStr">
        <is>
          <t>Member of Automation Industry Association India; DSIR-recognized R&amp;D division</t>
        </is>
      </c>
    </row>
    <row r="16" ht="28" customHeight="1">
      <c r="B16" s="15" t="inlineStr">
        <is>
          <t>OSC01</t>
        </is>
      </c>
      <c r="C16" s="16" t="inlineStr">
        <is>
          <t>Manufacturing Scale</t>
        </is>
      </c>
      <c r="D16" s="16" t="inlineStr">
        <is>
          <t>janaticspneumatics.com</t>
        </is>
      </c>
      <c r="E16" s="16" t="inlineStr">
        <is>
          <t>70,000 sqm Coimbatore HQ; additional Ahmedabad and Noida plants</t>
        </is>
      </c>
    </row>
    <row r="17" ht="28" customHeight="1">
      <c r="B17" s="15" t="inlineStr">
        <is>
          <t>OSC02</t>
        </is>
      </c>
      <c r="C17" s="16" t="inlineStr">
        <is>
          <t>Product Portfolio</t>
        </is>
      </c>
      <c r="D17" s="16" t="inlineStr">
        <is>
          <t>ICRA Rationale</t>
        </is>
      </c>
      <c r="E17" s="16" t="inlineStr">
        <is>
          <t>3,500+ distinct products across pneumatics, vacuum, hydraulics, didactics, robotics</t>
        </is>
      </c>
    </row>
    <row r="18" ht="28" customHeight="1">
      <c r="B18" s="15" t="inlineStr">
        <is>
          <t>OSC03</t>
        </is>
      </c>
      <c r="C18" s="16" t="inlineStr">
        <is>
          <t>R&amp;D Capability</t>
        </is>
      </c>
      <c r="D18" s="16" t="inlineStr">
        <is>
          <t>DSIR / Janatics website</t>
        </is>
      </c>
      <c r="E18" s="16" t="inlineStr">
        <is>
          <t>DSIR-recognized R&amp;D; CNC and casting; expanding to robotic systems</t>
        </is>
      </c>
    </row>
    <row r="19" ht="28" customHeight="1">
      <c r="B19" s="15" t="inlineStr">
        <is>
          <t>OSC04</t>
        </is>
      </c>
      <c r="C19" s="16" t="inlineStr">
        <is>
          <t>GST Compliance</t>
        </is>
      </c>
      <c r="D19" s="16" t="inlineStr">
        <is>
          <t>ICRA / public records</t>
        </is>
      </c>
      <c r="E19" s="16" t="inlineStr">
        <is>
          <t>Active GST entity; ICRA notes consistent regulatory compliance</t>
        </is>
      </c>
    </row>
    <row r="20" ht="28" customHeight="1">
      <c r="B20" s="15" t="inlineStr">
        <is>
          <t>OSC05</t>
        </is>
      </c>
      <c r="C20" s="16" t="inlineStr">
        <is>
          <t>Digitization</t>
        </is>
      </c>
      <c r="D20" s="16" t="inlineStr">
        <is>
          <t>Janatics website</t>
        </is>
      </c>
      <c r="E20" s="16" t="inlineStr">
        <is>
          <t>Industry 4.0 product line exists; internal ERP/digitization not publicly disclosed</t>
        </is>
      </c>
    </row>
    <row r="21" ht="28" customHeight="1">
      <c r="B21" s="15" t="inlineStr">
        <is>
          <t>FIN01</t>
        </is>
      </c>
      <c r="C21" s="16" t="inlineStr">
        <is>
          <t>Revenue FY2025</t>
        </is>
      </c>
      <c r="D21" s="16" t="inlineStr">
        <is>
          <t>ICRA Rationale 2025</t>
        </is>
      </c>
      <c r="E21" s="16" t="inlineStr">
        <is>
          <t>FY2025 revenue: ₹527.8 Cr (ICRA) / ₹531 Cr (Tracxn)</t>
        </is>
      </c>
    </row>
    <row r="22" ht="28" customHeight="1">
      <c r="B22" s="15" t="inlineStr">
        <is>
          <t>FIN02</t>
        </is>
      </c>
      <c r="C22" s="16" t="inlineStr">
        <is>
          <t>Revenue Growth</t>
        </is>
      </c>
      <c r="D22" s="16" t="inlineStr">
        <is>
          <t>ICRA</t>
        </is>
      </c>
      <c r="E22" s="16" t="inlineStr">
        <is>
          <t>4% YoY growth FY24→FY25; 3-yr CAGR not publicly available</t>
        </is>
      </c>
    </row>
    <row r="23" ht="28" customHeight="1">
      <c r="B23" s="15" t="inlineStr">
        <is>
          <t>FIN03</t>
        </is>
      </c>
      <c r="C23" s="16" t="inlineStr">
        <is>
          <t>EBITDA Trajectory</t>
        </is>
      </c>
      <c r="D23" s="16" t="inlineStr">
        <is>
          <t>Tracxn</t>
        </is>
      </c>
      <c r="E23" s="16" t="inlineStr">
        <is>
          <t>EBITDA CAGR -22% (1-year) — margin compression; specific % not disclosed</t>
        </is>
      </c>
    </row>
    <row r="24" ht="28" customHeight="1">
      <c r="B24" s="15" t="inlineStr">
        <is>
          <t>FIN04</t>
        </is>
      </c>
      <c r="C24" s="16" t="inlineStr">
        <is>
          <t>Credit Profile</t>
        </is>
      </c>
      <c r="D24" s="16" t="inlineStr">
        <is>
          <t>ICRA</t>
        </is>
      </c>
      <c r="E24" s="16" t="inlineStr">
        <is>
          <t>Stable outlook; healthy credit; multiple reaffirmations over 3+ years</t>
        </is>
      </c>
    </row>
    <row r="25" ht="28" customHeight="1">
      <c r="B25" s="15" t="inlineStr">
        <is>
          <t>FIN05</t>
        </is>
      </c>
      <c r="C25" s="16" t="inlineStr">
        <is>
          <t>Capital Structure</t>
        </is>
      </c>
      <c r="D25" s="16" t="inlineStr">
        <is>
          <t>MCA / Zaubacorp</t>
        </is>
      </c>
      <c r="E25" s="16" t="inlineStr">
        <is>
          <t>Auth. ₹30 Cr; paid-up ₹26.5 Cr; no external equity funding rounds identified</t>
        </is>
      </c>
    </row>
    <row r="26" ht="28" customHeight="1">
      <c r="B26" s="15" t="inlineStr">
        <is>
          <t>FIN06</t>
        </is>
      </c>
      <c r="C26" s="16" t="inlineStr">
        <is>
          <t>Employee Productivity</t>
        </is>
      </c>
      <c r="D26" s="16" t="inlineStr">
        <is>
          <t>Tracxn</t>
        </is>
      </c>
      <c r="E26" s="16" t="inlineStr">
        <is>
          <t>662 employees; ₹531 Cr revenue = ~₹80 lakh revenue per employee</t>
        </is>
      </c>
    </row>
    <row r="27" ht="28" customHeight="1">
      <c r="B27" s="15" t="inlineStr">
        <is>
          <t>IC01</t>
        </is>
      </c>
      <c r="C27" s="16" t="inlineStr">
        <is>
          <t>Market Size</t>
        </is>
      </c>
      <c r="D27" s="16" t="inlineStr">
        <is>
          <t>IMARC Group 2024</t>
        </is>
      </c>
      <c r="E27" s="16" t="inlineStr">
        <is>
          <t>India pneumatic equipment market $1.06B (2024) → $1.94B (2033)</t>
        </is>
      </c>
    </row>
    <row r="28" ht="28" customHeight="1">
      <c r="B28" s="15" t="inlineStr">
        <is>
          <t>IC02</t>
        </is>
      </c>
      <c r="C28" s="16" t="inlineStr">
        <is>
          <t>Industry CAGR</t>
        </is>
      </c>
      <c r="D28" s="16" t="inlineStr">
        <is>
          <t>IMARC Group</t>
        </is>
      </c>
      <c r="E28" s="16" t="inlineStr">
        <is>
          <t>India pneumatic equipment CAGR 6.9% (2025–2033)</t>
        </is>
      </c>
    </row>
    <row r="29" ht="28" customHeight="1">
      <c r="B29" s="15" t="inlineStr">
        <is>
          <t>IC03</t>
        </is>
      </c>
      <c r="C29" s="16" t="inlineStr">
        <is>
          <t>Competitive Position</t>
        </is>
      </c>
      <c r="D29" s="16" t="inlineStr">
        <is>
          <t>Public research</t>
        </is>
      </c>
      <c r="E29" s="16" t="inlineStr">
        <is>
          <t>Competes with SMC, Festo, Parker Hannifin; dominant domestic brand in mid-market</t>
        </is>
      </c>
    </row>
    <row r="30" ht="28" customHeight="1">
      <c r="B30" s="15" t="inlineStr">
        <is>
          <t>IC04</t>
        </is>
      </c>
      <c r="C30" s="16" t="inlineStr">
        <is>
          <t>Macro Tailwinds</t>
        </is>
      </c>
      <c r="D30" s="16" t="inlineStr">
        <is>
          <t>Industry reports</t>
        </is>
      </c>
      <c r="E30" s="16" t="inlineStr">
        <is>
          <t>Make in India, PLI for manufacturing, China+1 sourcing shifts — all favourable</t>
        </is>
      </c>
    </row>
    <row r="31" ht="28" customHeight="1">
      <c r="B31" s="15" t="inlineStr">
        <is>
          <t>IC05</t>
        </is>
      </c>
      <c r="C31" s="16" t="inlineStr">
        <is>
          <t>End-Market Mix</t>
        </is>
      </c>
      <c r="D31" s="16" t="inlineStr">
        <is>
          <t>ICRA / Janatics</t>
        </is>
      </c>
      <c r="E31" s="16" t="inlineStr">
        <is>
          <t>Pharma, auto, packaging, printing, food processing, medical equipment, textile — 7 sectors</t>
        </is>
      </c>
    </row>
  </sheetData>
  <mergeCells count="1">
    <mergeCell ref="B2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2026-04-19T05:23:37Z</dcterms:created>
  <dcterms:modified xmlns:dcterms="http://purl.org/dc/terms/" xmlns:xsi="http://www.w3.org/2001/XMLSchema-instance" xsi:type="dcterms:W3CDTF">2026-04-19T05:23:37Z</dcterms:modified>
</cp:coreProperties>
</file>